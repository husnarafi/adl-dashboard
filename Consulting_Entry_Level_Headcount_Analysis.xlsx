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3da54fdf998048/Documents/"/>
    </mc:Choice>
  </mc:AlternateContent>
  <xr:revisionPtr revIDLastSave="1" documentId="8_{263582BF-9C02-4014-8F15-7C6B18CADDA4}" xr6:coauthVersionLast="47" xr6:coauthVersionMax="47" xr10:uidLastSave="{421A29AC-BCF9-4E16-AFC1-58F87C56D164}"/>
  <bookViews>
    <workbookView xWindow="-110" yWindow="-110" windowWidth="19420" windowHeight="12300" xr2:uid="{69191462-7F23-41E1-9241-4B426C6EC8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<sst xmlns="http://schemas.openxmlformats.org/spreadsheetml/2006/main" count="36" uniqueCount="31">
  <si>
    <t>Company</t>
  </si>
  <si>
    <t>McKinsey</t>
  </si>
  <si>
    <t>BCG</t>
  </si>
  <si>
    <t>Bain</t>
  </si>
  <si>
    <t>Total Employees</t>
  </si>
  <si>
    <t>Junior Ratio</t>
  </si>
  <si>
    <t>*Note: All headcounts are approximated using LinkedIn data.</t>
  </si>
  <si>
    <t>Boston Consulting Group (BCG)</t>
  </si>
  <si>
    <t>Entry-level</t>
  </si>
  <si>
    <t>Strategy&amp;</t>
  </si>
  <si>
    <t>Oliver Wyman</t>
  </si>
  <si>
    <t>Roland Berger</t>
  </si>
  <si>
    <t>Kearney</t>
  </si>
  <si>
    <t>Firm</t>
  </si>
  <si>
    <t>Source URLs (US-based)</t>
  </si>
  <si>
    <t>McKinsey job search (shows roles such as Business Analyst, Associate as core consulting titles): https://www.mckinsey.com/careers/search-jobs mckinsey / McKinsey job titles guide (describes Business Analyst as an entry-level consultant title globally): https://umbrex.com/resources/guide-to-consulting-firm-titles/mckinsey-and-company/ umbrex / McKinsey hierarchy explainer (defines Business Analyst / Junior Associate as “entry-level positions for undergraduates and those with minimal work experience”): https://www.casebasix.com/pages/mckinsey-hierarchy casebasix</t>
  </si>
  <si>
    <t>BCG careers overview (defines Level 1: Associate as an undergrad / pre-MBA hire, Level 2: Consultant as MBA hire): https://caseinterview.com/bcg-careers caseinterview / US-focused discussion confirming “BCG – Associate” as the entry-level title: https://www.reddit.com/r/consulting/comments/37o8vb/what_are_some_job_titles_for_an_entry_level_bba/ reddit</t>
  </si>
  <si>
    <t>Bain job titles guide (general consulting track: Associate Consultant → Senior Associate Consultant → Consultant …): https://umbrex.com/resources/guide-to-consulting-firm-titles/bain-company/ umbrex / US‑oriented Bain guide (states that Associate Consultant is the “entry-level role”): https://caselane.ai/blog/bain-comprehensive-guide-for-aspiring-consultants caselane</t>
  </si>
  <si>
    <t>Strategy&amp; (PwC US)</t>
  </si>
  <si>
    <t>PwC US entry-level strategy consulting requisitions (Strategy&amp; Consulting entry-level applicants are hired into Associate / Senior Associate bands): https://jobs.us.pwc.com/entry-level-strategy-consulting jobs.pwc / Enterprise &amp; Functional Strategy entry-level posting (describes how entry-level professionals apply to Strategy&amp; Consulting roles): https://jobs.us.pwc.com/entry-level-strategy-consulting-enterprise-strategy-value jobs.pwc / Strategy&amp; firm overview (summarizes undergrad entry as Associate and MBA entry as Senior Associate): https://managementconsulted.com/strategyand-company-interview/ managementconsulted</t>
  </si>
  <si>
    <t>Oliver Wyman entry-level careers page for students and grads: https://www.oliverwyman.com/careers/entry-level.html oliverwyman / US job posting “Oliver Wyman – Entry Level Consultant 2026 – US” (described as “FULL-TIME ENTRY-LEVEL CONSULTANT ROLE” with job title “Consultant”): https://builtin.com/job/oliver-wyman-entry-level-consultant-2026-us/4408357 builtin</t>
  </si>
  <si>
    <t>Roland Berger titles guide (states that “consulting entry points commonly include Analyst or Junior Consultant” and describes Analyst as an entry-level consultant): https://umbrex.com/resources/guide-to-consulting-firm-titles/roland-berger/ umbrex / CaseBasix Roland Berger overview (shows the path Analyst → Junior Consultant → Consultant …): https://www.casebasix.com/pages/roland-berger casebasix</t>
  </si>
  <si>
    <t>Consulting roles explainer (treats Business Analyst as Kearney’s entry‑level consultant role): https://strategyu.co/consulting-roles/ strategyu / Kearney entry‑level negotiation discussion (compares compensation and expectations at Business Analyst / Senior Business Analyst level): https://www.preplounge.com/consulting-forum/entry-level-negotiation-at-kearney-16844 preplounge</t>
  </si>
  <si>
    <t>Business Analyst (undergraduate entry-level)</t>
  </si>
  <si>
    <t>Associate (undergraduate entry-level)</t>
  </si>
  <si>
    <t>Representative entry-level titles</t>
  </si>
  <si>
    <t>Associate Consultant (undergraduate entry-level)</t>
  </si>
  <si>
    <t xml:space="preserve">Associate (undergraduate entry), </t>
  </si>
  <si>
    <t>Consultant (entry-level role for students and recent grads)</t>
  </si>
  <si>
    <t>Analyst (undergraduate entry-level),</t>
  </si>
  <si>
    <t xml:space="preserve">Business Analyst (undergraduate entry-level),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</si>
</sst>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3" fontId="0" fillId="0" borderId="1" xfId="0" applyNumberFormat="1" applyBorder="1"/>
    <xf numFmtId="9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77C7-6C90-4668-A84E-1326CD00063A}">
  <dimension ref="A1:E18"/>
  <sheetViews>
    <sheetView tabSelected="1" workbookViewId="0">
      <selection activeCell="G24" sqref="G24"/>
    </sheetView>
  </sheetViews>
  <sheetFormatPr defaultRowHeight="14.5" x14ac:dyDescent="0.35"/>
  <cols>
    <col min="1" max="1" width="18.1796875" customWidth="1"/>
    <col min="2" max="2" width="49.90625" bestFit="1" customWidth="1"/>
    <col min="3" max="4" width="18.1796875" customWidth="1"/>
  </cols>
  <sheetData>
    <row r="1" spans="1:5" x14ac:dyDescent="0.35">
      <c r="A1" s="4" t="s">
        <v>0</v>
      </c>
      <c r="B1" s="4" t="s">
        <v>8</v>
      </c>
      <c r="C1" s="4" t="s">
        <v>4</v>
      </c>
      <c r="D1" s="4" t="s">
        <v>5</v>
      </c>
      <c r="E1" t="s">
        <v>6</v>
      </c>
    </row>
    <row r="2" spans="1:5" x14ac:dyDescent="0.35">
      <c r="A2" s="1" t="s">
        <v>1</v>
      </c>
      <c r="B2" s="2">
        <v>9008</v>
      </c>
      <c r="C2" s="2">
        <v>38131</v>
      </c>
      <c r="D2" s="3">
        <f>B2/C2</f>
        <v>0.2362382313603105</v>
      </c>
    </row>
    <row r="3" spans="1:5" x14ac:dyDescent="0.35">
      <c r="A3" s="1" t="s">
        <v>7</v>
      </c>
      <c r="B3" s="2">
        <v>18164</v>
      </c>
      <c r="C3" s="2">
        <v>41080</v>
      </c>
      <c r="D3" s="3">
        <f t="shared" ref="D3:D8" si="0">B3/C3</f>
        <v>0.44216163583252188</v>
      </c>
    </row>
    <row r="4" spans="1:5" x14ac:dyDescent="0.35">
      <c r="A4" s="1" t="s">
        <v>3</v>
      </c>
      <c r="B4" s="2">
        <v>9760</v>
      </c>
      <c r="C4" s="2">
        <v>23312</v>
      </c>
      <c r="D4" s="3">
        <f t="shared" si="0"/>
        <v>0.41866849691146191</v>
      </c>
    </row>
    <row r="5" spans="1:5" x14ac:dyDescent="0.35">
      <c r="A5" s="1" t="s">
        <v>9</v>
      </c>
      <c r="B5" s="2">
        <v>3784</v>
      </c>
      <c r="C5" s="2">
        <v>5707</v>
      </c>
      <c r="D5" s="3">
        <f t="shared" si="0"/>
        <v>0.66304538286315051</v>
      </c>
    </row>
    <row r="6" spans="1:5" x14ac:dyDescent="0.35">
      <c r="A6" s="1" t="s">
        <v>10</v>
      </c>
      <c r="B6" s="2">
        <v>4405</v>
      </c>
      <c r="C6" s="2">
        <v>9619</v>
      </c>
      <c r="D6" s="3">
        <f t="shared" si="0"/>
        <v>0.45794781162282983</v>
      </c>
    </row>
    <row r="7" spans="1:5" x14ac:dyDescent="0.35">
      <c r="A7" s="1" t="s">
        <v>11</v>
      </c>
      <c r="B7" s="2">
        <v>1081</v>
      </c>
      <c r="C7" s="2">
        <v>4780</v>
      </c>
      <c r="D7" s="3">
        <f t="shared" si="0"/>
        <v>0.22615062761506277</v>
      </c>
    </row>
    <row r="8" spans="1:5" x14ac:dyDescent="0.35">
      <c r="A8" s="1" t="s">
        <v>12</v>
      </c>
      <c r="B8" s="2">
        <v>2028</v>
      </c>
      <c r="C8" s="2">
        <v>7450</v>
      </c>
      <c r="D8" s="3">
        <f t="shared" si="0"/>
        <v>0.27221476510067116</v>
      </c>
    </row>
    <row r="11" spans="1:5" x14ac:dyDescent="0.35">
      <c r="A11" t="s">
        <v>13</v>
      </c>
      <c r="B11" t="s">
        <v>25</v>
      </c>
      <c r="C11" t="s">
        <v>14</v>
      </c>
    </row>
    <row r="12" spans="1:5" x14ac:dyDescent="0.35">
      <c r="A12" t="s">
        <v>1</v>
      </c>
      <c r="B12" t="s">
        <v>23</v>
      </c>
      <c r="C12" t="s">
        <v>15</v>
      </c>
    </row>
    <row r="13" spans="1:5" x14ac:dyDescent="0.35">
      <c r="A13" t="s">
        <v>2</v>
      </c>
      <c r="B13" t="s">
        <v>24</v>
      </c>
      <c r="C13" t="s">
        <v>16</v>
      </c>
    </row>
    <row r="14" spans="1:5" x14ac:dyDescent="0.35">
      <c r="A14" t="s">
        <v>3</v>
      </c>
      <c r="B14" t="s">
        <v>26</v>
      </c>
      <c r="C14" t="s">
        <v>17</v>
      </c>
    </row>
    <row r="15" spans="1:5" x14ac:dyDescent="0.35">
      <c r="A15" t="s">
        <v>18</v>
      </c>
      <c r="B15" t="s">
        <v>27</v>
      </c>
      <c r="C15" t="s">
        <v>19</v>
      </c>
    </row>
    <row r="16" spans="1:5" x14ac:dyDescent="0.35">
      <c r="A16" t="s">
        <v>10</v>
      </c>
      <c r="B16" t="s">
        <v>28</v>
      </c>
      <c r="C16" t="s">
        <v>20</v>
      </c>
    </row>
    <row r="17" spans="1:3" x14ac:dyDescent="0.35">
      <c r="A17" t="s">
        <v>11</v>
      </c>
      <c r="B17" t="s">
        <v>29</v>
      </c>
      <c r="C17" t="s">
        <v>21</v>
      </c>
    </row>
    <row r="18" spans="1:3" x14ac:dyDescent="0.35">
      <c r="A18" t="s">
        <v>12</v>
      </c>
      <c r="B18" t="s">
        <v>30</v>
      </c>
      <c r="C1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尚志 井筒</dc:creator>
  <cp:lastModifiedBy>尚志 井筒</cp:lastModifiedBy>
  <dcterms:created xsi:type="dcterms:W3CDTF">2026-04-12T13:01:48Z</dcterms:created>
  <dcterms:modified xsi:type="dcterms:W3CDTF">2026-04-12T16:49:06Z</dcterms:modified>
</cp:coreProperties>
</file>